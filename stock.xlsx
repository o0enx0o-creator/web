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msung\Desktop\wb\"/>
    </mc:Choice>
  </mc:AlternateContent>
  <xr:revisionPtr revIDLastSave="0" documentId="13_ncr:1_{C09727D6-C858-4DE0-BFB0-BC964918B0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5" i="1"/>
  <c r="E33" i="1"/>
  <c r="E32" i="1"/>
  <c r="E52" i="1"/>
  <c r="E55" i="1"/>
  <c r="E56" i="1"/>
  <c r="E54" i="1"/>
  <c r="E53" i="1"/>
  <c r="E3" i="1"/>
  <c r="E64" i="1"/>
  <c r="E6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7" i="1"/>
  <c r="E58" i="1"/>
  <c r="E4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60" i="1"/>
  <c r="G61" i="1"/>
  <c r="G62" i="1"/>
  <c r="G63" i="1"/>
  <c r="G64" i="1"/>
  <c r="G2" i="1"/>
  <c r="D60" i="1"/>
  <c r="D61" i="1"/>
  <c r="D62" i="1"/>
  <c r="D63" i="1"/>
  <c r="D6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" i="1"/>
  <c r="D2" i="1"/>
</calcChain>
</file>

<file path=xl/sharedStrings.xml><?xml version="1.0" encoding="utf-8"?>
<sst xmlns="http://schemas.openxmlformats.org/spreadsheetml/2006/main" count="70" uniqueCount="70">
  <si>
    <t>Lenovo IdeaPad Flex 5 14ITL05 14" i5-1135G7 8GB 512GB SSD Win11 w/PA Read* LP324</t>
  </si>
  <si>
    <t>MSI Summit E14 Flip EVO | i7-1260P | 32GB LPDDR5 | 1TB NVMe | Win11 Pro</t>
  </si>
  <si>
    <t>Microsoft Surface Laptop 3 Used 15" i7-1065G7, 256GB NVMe, 16GB RAM</t>
  </si>
  <si>
    <t>Lot of 6 - 240GB Patriot Burst Internal 2.5 inch SSD PBU240GS25SSDR</t>
  </si>
  <si>
    <t>WORKING Microsoft Surface Pro 5 1807 12.3" i5-7300U/8GB/256GB Win11 WHITE SPOTS</t>
  </si>
  <si>
    <t>Dell Vostro 5620 Laptop 16" Intel I7-1260P, 16GB RAM, 256GB NVME SSD, Win11 Pro</t>
  </si>
  <si>
    <t>Microsoft Surface Pro 5 TABLET LAPTOP - i7 16GB 512GB WIN 11 PRO - EXCELLENT</t>
  </si>
  <si>
    <t>Dell Latitude 7410 14" Non-touch Laptop i5-10310U 16GB 256GB M2 W11 Pro</t>
  </si>
  <si>
    <t>Dell Latitude 7420 i7-1185G7 16GB RAM 256GB SSD Win11 Pro Touchscreen</t>
  </si>
  <si>
    <t>Dell Latitude 7420 i5-1145G7 16GB RAM 256GB SSD Win11 Pro Touchscreen</t>
  </si>
  <si>
    <t>Microsoft Surface Pro 8 13" TOUCHSCREEN TABLET Intel Core i5, 256GB SSD, W11</t>
  </si>
  <si>
    <t>Microsoft Surface Pro 8 13" i5-1135G7 2.40GHz 8GB 256GB</t>
  </si>
  <si>
    <t>Lenovo IdeaPad Slim 7 14ARE05 14" Laptop AMD Ryzen 7 4800U 1.80GHz Win11 New Bat</t>
  </si>
  <si>
    <t>(W) Dell Inspiron 13 7391 2-in-1 i7-10510U 16GB RAM 4K-UHD Touch - No OS/SSD</t>
  </si>
  <si>
    <t>Microsoft Surface Studio 1964 11th Gen i7 11370H 3.3GHz 16GB RAM 512GB RTX 3050</t>
  </si>
  <si>
    <t>Razor Book 13 I7-1165G7 16GB RAM 1TB NVMe Windows 11 Home</t>
  </si>
  <si>
    <t>HP Envy x360 15.6 Gray FHD TOUCH 1.7 GHz Ultra 7 155U 16GB RAM 512GB SSD Good</t>
  </si>
  <si>
    <t>Dell XPS 9575 2-in-1 i7 15.6" FHD Touch 8GB 256GB SSD Radeon RX Vega W11 Pro</t>
  </si>
  <si>
    <t>Microsoft Surface Pro X 16GB 3.0 GHz SQ1 Processor 512 GB SSD Model 1876</t>
  </si>
  <si>
    <t>Microsoft Surface Slim Pen 2 | Black | Tested &amp; Working | No Charger</t>
  </si>
  <si>
    <t>MSI Summit B15 A11MT,i7-1165G7@2.80GHz 8GB 256GB SSD Windows 11 Pro Laptop Touch</t>
  </si>
  <si>
    <t>HP Elite x2 G8 i5-1135G7-16GB RAM-512GB SSD-Win11 Pro-Tablet WB</t>
  </si>
  <si>
    <t>Microsoft Surface Pro 12" Keyboard Type Cover Gray Surface Pro 12</t>
  </si>
  <si>
    <t>ASUS VIVIOBOOK RYZEN 7 5800H 16GB RAM 512GB SSD WIN11PRO</t>
  </si>
  <si>
    <t>Lenovo Yoga 6 - 13ALC7 (16GB, 512GB, Blue, 2022)</t>
  </si>
  <si>
    <t>Microsoft Surface Pro 6 1796 2-in-1 12.3" | 1.90GHz Core i7-8650U | 8GB | 256GB</t>
  </si>
  <si>
    <t>Microsoft Surface Pro 5 1807 Tablet i5-7300U 8GB 256GB Win 10 Pro COA LTE</t>
  </si>
  <si>
    <t>microsoft surface laptop 5 i7 8GB Ram 256GB Storage Model 1979</t>
  </si>
  <si>
    <t>(LOT OF 2) Microsoft Surface Laptop 3 | i7-1065G7 | 16GB RAM | 256/512GB | NO OS</t>
  </si>
  <si>
    <t>Dell Latitude 7320 Detachable Core I5-1140G7 1.1GHZ 8GB 256GB Touch, W11 Cord</t>
  </si>
  <si>
    <t>Microsoft Surface Pen and Charger Stylet Model 1853 Black Grade C</t>
  </si>
  <si>
    <t>Microsoft Surface Slim Pen 2nd Edition Matte Black</t>
  </si>
  <si>
    <t>Dell Inspiron 16 5630, i7-1360P, 16GB RAM, 500GB SSD, Win11 Pro</t>
  </si>
  <si>
    <t>APPLE MACBOOK PRO A2141 16IN I9-9880H, 16GB, 1TB</t>
  </si>
  <si>
    <t>Dell Inspiron 16 5630 i7-1360P 5.00GHz 1TB SSD 16GB Ram GeForce RTX 2050 - Good</t>
  </si>
  <si>
    <t>Microsoft Surface Pro 8 13" Touch Core i5-1135G7 128GB 8GB B Win 11 Pro</t>
  </si>
  <si>
    <t>Dell Precision 5550 Core I7-10850H 2.7GHz 32GB 512GB SSD *NVIDIA T1000***No OS</t>
  </si>
  <si>
    <t>Dell Inspiron 5630 16 Silver 2.2 GHz i7-1360P 16GB 1TB SSD NVIDIA RTX 2050 Touch</t>
  </si>
  <si>
    <t>HP Elite Dragonfly Max 13.3" Touch i7-1165G7 2.80GHz/16GB/512GB NVMe</t>
  </si>
  <si>
    <t>Microsoft Surface Laptop 3 13.5" with 256GB SSD and power adapter</t>
  </si>
  <si>
    <t>Lenovo Yoga 720-13IKB i7-8550U 1.80GHz 16GB RAM (No Drive)</t>
  </si>
  <si>
    <t>Asus ROG FLOW 13, model GZ301ZC-PS73</t>
  </si>
  <si>
    <t>Dell Latitude 7320 Detachable i5-1140G7@1.1GHz, 8GB RAM, 256GB M2, W11P</t>
  </si>
  <si>
    <t>Dell Inspiron 7506 2n1, I7 11G, 16gb RAM, 512gb SSD</t>
  </si>
  <si>
    <t>ASUS Zenbook A14 OLED (UX3407Q) - Snapdragon X Plus, 16GB Ram, 512GB SSD</t>
  </si>
  <si>
    <t>Dell Precision 5550 | i7-10850H | 16Gb RAM | 512Gb RAM | T2000 |Touch</t>
  </si>
  <si>
    <t>Microsoft - Surface Pro - Copilot+ PC - 12- Snapdragon X Plus 8 Core - 16GB… NEW</t>
  </si>
  <si>
    <t>Microsoft Surface Laptop7th Edition 13.8"2036 Snapdragon X Plus 512GB 16GB Gold</t>
  </si>
  <si>
    <t>Microsoft Surface Laptop 3 1868 13.5" Core i5-1035G7 8GB 256GB Windows 11 Home</t>
  </si>
  <si>
    <t>ASUS F1504VAP-WH56-D Vivobook 15.6" FHD 5 120U 1.4GHz Intel UHD Graphics 16GB</t>
  </si>
  <si>
    <t>Seagate Hard Drive Backup Plus Slim Portable 1TB External STHN1000400 Mac PC</t>
  </si>
  <si>
    <t>SEALED French English Bilingual Microsoft Surface Pro Keyboard 8XA-00098 Blue</t>
  </si>
  <si>
    <t>Microsoft Surface Pro X Signature Keyboard with Slim Pen (FRENCH LAYOUT)</t>
  </si>
  <si>
    <t>Microsoft Surface Slim Pen 2 - Matte Black- Surface Pro/Laptop/Book/Studio</t>
  </si>
  <si>
    <t>Surface Pro 7 Intel Core I5 10th Gen 8gb Ram 256gb SSD Windows 11</t>
  </si>
  <si>
    <t>Microsoft Surface Pro 5 i5 128GB SSD 8GB RAM Win 10 Pro + Type Cover</t>
  </si>
  <si>
    <t>item</t>
  </si>
  <si>
    <t>price $</t>
  </si>
  <si>
    <t>no</t>
  </si>
  <si>
    <t>total</t>
  </si>
  <si>
    <t>Thermal Grizzly Liquid Metal Thermal Paste Conductonaut 1 Gram - Made in Germany Liquid Metal for PS5, CPU, GPU, Xbox, Game Consoles Best for Overclocking Premium Materials</t>
  </si>
  <si>
    <t>TOWOT Tip Tinner For Electronics Soldering, Iron Tip and Re-Tinning Solution, Removes Oxidation, 20g</t>
  </si>
  <si>
    <t>10Pcs T12 Soldering Iron Tips, Welding Tool Replacement Tips for FX-951 Soldering Stations, Soldering Station Tips Tool with T12-</t>
  </si>
  <si>
    <t>Apple 2026 MacBook Neo 13-inch Laptop with A18 Pro chip: Built for AI and Apple Intelligence, Liquid Retina Display, 8GB Unified Memory, 256GB SSD Storage, 1080p FaceTime HD Camera; Silver</t>
  </si>
  <si>
    <t>Apple 2026 MacBook Air 13-inch Laptop with M5 chip: Built for AI, 13.6-inch Liquid Retina Display, 16GB Unified Memory, 512GB SSD, 12MP Center Stage Camera, Touch ID, Wi-Fi 7; Midnight</t>
  </si>
  <si>
    <t>sale price IQD</t>
  </si>
  <si>
    <t>sale price $</t>
  </si>
  <si>
    <t>Add SSD 512GB</t>
  </si>
  <si>
    <t>.+$35 ship</t>
  </si>
  <si>
    <t>Complete Microsoft Surface Pro X Slim Pen 1-Black-1853 LLK-00001 - NEW with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</si>
</sst>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IQD]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62A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2" fillId="0" borderId="0" xfId="1"/>
    <xf numFmtId="0" fontId="2" fillId="3" borderId="0" xfId="1" applyFill="1" applyAlignment="1">
      <alignment vertical="center" wrapText="1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164" fontId="1" fillId="4" borderId="0" xfId="0" applyNumberFormat="1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6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bay.com/itm/358367029899" TargetMode="External"/><Relationship Id="rId18" Type="http://schemas.openxmlformats.org/officeDocument/2006/relationships/hyperlink" Target="https://www.ebay.com/itm/267598252995" TargetMode="External"/><Relationship Id="rId26" Type="http://schemas.openxmlformats.org/officeDocument/2006/relationships/hyperlink" Target="https://www.ebay.com/itm/317945280682" TargetMode="External"/><Relationship Id="rId39" Type="http://schemas.openxmlformats.org/officeDocument/2006/relationships/hyperlink" Target="https://www.ebay.com/itm/306763123844" TargetMode="External"/><Relationship Id="rId21" Type="http://schemas.openxmlformats.org/officeDocument/2006/relationships/hyperlink" Target="https://www.ebay.com/itm/306792136843" TargetMode="External"/><Relationship Id="rId34" Type="http://schemas.openxmlformats.org/officeDocument/2006/relationships/hyperlink" Target="https://www.ebay.com/itm/227225110777" TargetMode="External"/><Relationship Id="rId42" Type="http://schemas.openxmlformats.org/officeDocument/2006/relationships/hyperlink" Target="https://www.ebay.com/itm/177824621786" TargetMode="External"/><Relationship Id="rId47" Type="http://schemas.openxmlformats.org/officeDocument/2006/relationships/hyperlink" Target="https://www.ebay.com/itm/205814299543" TargetMode="External"/><Relationship Id="rId50" Type="http://schemas.openxmlformats.org/officeDocument/2006/relationships/hyperlink" Target="https://www.ebay.com/itm/168075912142" TargetMode="External"/><Relationship Id="rId55" Type="http://schemas.openxmlformats.org/officeDocument/2006/relationships/hyperlink" Target="https://www.ebay.com/itm/205969412690" TargetMode="External"/><Relationship Id="rId7" Type="http://schemas.openxmlformats.org/officeDocument/2006/relationships/hyperlink" Target="https://www.ebay.com/itm/287250225689" TargetMode="External"/><Relationship Id="rId2" Type="http://schemas.openxmlformats.org/officeDocument/2006/relationships/hyperlink" Target="https://www.ebay.com/itm/366317976356" TargetMode="External"/><Relationship Id="rId16" Type="http://schemas.openxmlformats.org/officeDocument/2006/relationships/hyperlink" Target="https://www.ebay.com/itm/287199526272" TargetMode="External"/><Relationship Id="rId29" Type="http://schemas.openxmlformats.org/officeDocument/2006/relationships/hyperlink" Target="https://www.ebay.com/itm/317923534127" TargetMode="External"/><Relationship Id="rId11" Type="http://schemas.openxmlformats.org/officeDocument/2006/relationships/hyperlink" Target="https://www.ebay.com/itm/267621933720" TargetMode="External"/><Relationship Id="rId24" Type="http://schemas.openxmlformats.org/officeDocument/2006/relationships/hyperlink" Target="https://www.ebay.com/itm/226670269290" TargetMode="External"/><Relationship Id="rId32" Type="http://schemas.openxmlformats.org/officeDocument/2006/relationships/hyperlink" Target="https://www.ebay.com/itm/127690509426" TargetMode="External"/><Relationship Id="rId37" Type="http://schemas.openxmlformats.org/officeDocument/2006/relationships/hyperlink" Target="https://www.ebay.com/itm/227214149694" TargetMode="External"/><Relationship Id="rId40" Type="http://schemas.openxmlformats.org/officeDocument/2006/relationships/hyperlink" Target="https://www.ebay.com/itm/336426939479" TargetMode="External"/><Relationship Id="rId45" Type="http://schemas.openxmlformats.org/officeDocument/2006/relationships/hyperlink" Target="https://www.ebay.com/itm/358169908527" TargetMode="External"/><Relationship Id="rId53" Type="http://schemas.openxmlformats.org/officeDocument/2006/relationships/hyperlink" Target="https://www.ebay.com/itm/297904395865" TargetMode="External"/><Relationship Id="rId58" Type="http://schemas.openxmlformats.org/officeDocument/2006/relationships/hyperlink" Target="https://www.amazon.com/dp/B09BQRQ9JF?ref_=ppx_printOD_title_dt_b_fed_asin_title_1_0" TargetMode="External"/><Relationship Id="rId5" Type="http://schemas.openxmlformats.org/officeDocument/2006/relationships/hyperlink" Target="https://www.ebay.com/itm/277879143515" TargetMode="External"/><Relationship Id="rId19" Type="http://schemas.openxmlformats.org/officeDocument/2006/relationships/hyperlink" Target="https://www.ebay.com/itm/188135685177" TargetMode="External"/><Relationship Id="rId4" Type="http://schemas.openxmlformats.org/officeDocument/2006/relationships/hyperlink" Target="https://www.ebay.com/itm/227299217305" TargetMode="External"/><Relationship Id="rId9" Type="http://schemas.openxmlformats.org/officeDocument/2006/relationships/hyperlink" Target="https://www.ebay.com/itm/358400210711" TargetMode="External"/><Relationship Id="rId14" Type="http://schemas.openxmlformats.org/officeDocument/2006/relationships/hyperlink" Target="https://www.ebay.com/itm/206151877766" TargetMode="External"/><Relationship Id="rId22" Type="http://schemas.openxmlformats.org/officeDocument/2006/relationships/hyperlink" Target="https://www.ebay.com/itm/188127533110" TargetMode="External"/><Relationship Id="rId27" Type="http://schemas.openxmlformats.org/officeDocument/2006/relationships/hyperlink" Target="https://www.ebay.com/itm/277760190609" TargetMode="External"/><Relationship Id="rId30" Type="http://schemas.openxmlformats.org/officeDocument/2006/relationships/hyperlink" Target="https://www.ebay.com/itm/317924691372" TargetMode="External"/><Relationship Id="rId35" Type="http://schemas.openxmlformats.org/officeDocument/2006/relationships/hyperlink" Target="https://www.ebay.com/itm/406695994144" TargetMode="External"/><Relationship Id="rId43" Type="http://schemas.openxmlformats.org/officeDocument/2006/relationships/hyperlink" Target="https://www.ebay.com/itm/188009589953" TargetMode="External"/><Relationship Id="rId48" Type="http://schemas.openxmlformats.org/officeDocument/2006/relationships/hyperlink" Target="https://www.ebay.com/itm/187998216326" TargetMode="External"/><Relationship Id="rId56" Type="http://schemas.openxmlformats.org/officeDocument/2006/relationships/hyperlink" Target="https://www.ebay.com/itm/406553446118" TargetMode="External"/><Relationship Id="rId8" Type="http://schemas.openxmlformats.org/officeDocument/2006/relationships/hyperlink" Target="https://www.ebay.com/itm/157801451488" TargetMode="External"/><Relationship Id="rId51" Type="http://schemas.openxmlformats.org/officeDocument/2006/relationships/hyperlink" Target="https://www.ebay.com/itm/187931156416" TargetMode="External"/><Relationship Id="rId3" Type="http://schemas.openxmlformats.org/officeDocument/2006/relationships/hyperlink" Target="https://www.ebay.com/itm/336538991074" TargetMode="External"/><Relationship Id="rId12" Type="http://schemas.openxmlformats.org/officeDocument/2006/relationships/hyperlink" Target="https://www.ebay.com/itm/406806065906" TargetMode="External"/><Relationship Id="rId17" Type="http://schemas.openxmlformats.org/officeDocument/2006/relationships/hyperlink" Target="https://www.ebay.com/itm/127725113091" TargetMode="External"/><Relationship Id="rId25" Type="http://schemas.openxmlformats.org/officeDocument/2006/relationships/hyperlink" Target="https://www.ebay.com/itm/336330212154" TargetMode="External"/><Relationship Id="rId33" Type="http://schemas.openxmlformats.org/officeDocument/2006/relationships/hyperlink" Target="https://www.ebay.com/itm/227223866453" TargetMode="External"/><Relationship Id="rId38" Type="http://schemas.openxmlformats.org/officeDocument/2006/relationships/hyperlink" Target="https://www.ebay.com/itm/389491860012" TargetMode="External"/><Relationship Id="rId46" Type="http://schemas.openxmlformats.org/officeDocument/2006/relationships/hyperlink" Target="https://www.ebay.com/itm/227194426238" TargetMode="External"/><Relationship Id="rId59" Type="http://schemas.openxmlformats.org/officeDocument/2006/relationships/hyperlink" Target="https://www.amazon.com/dp/B0GR6F79MT?ref_=ppx_printOD_title_dt_b_fed_asin_title_0_0" TargetMode="External"/><Relationship Id="rId20" Type="http://schemas.openxmlformats.org/officeDocument/2006/relationships/hyperlink" Target="https://www.ebay.com/itm/227246393788" TargetMode="External"/><Relationship Id="rId41" Type="http://schemas.openxmlformats.org/officeDocument/2006/relationships/hyperlink" Target="https://www.ebay.com/itm/117021066759" TargetMode="External"/><Relationship Id="rId54" Type="http://schemas.openxmlformats.org/officeDocument/2006/relationships/hyperlink" Target="https://www.ebay.com/itm/317724848937" TargetMode="External"/><Relationship Id="rId1" Type="http://schemas.openxmlformats.org/officeDocument/2006/relationships/hyperlink" Target="https://www.ebay.com/itm/257475087172" TargetMode="External"/><Relationship Id="rId6" Type="http://schemas.openxmlformats.org/officeDocument/2006/relationships/hyperlink" Target="https://www.ebay.com/itm/336519099601" TargetMode="External"/><Relationship Id="rId15" Type="http://schemas.openxmlformats.org/officeDocument/2006/relationships/hyperlink" Target="https://www.ebay.com/itm/168235417557" TargetMode="External"/><Relationship Id="rId23" Type="http://schemas.openxmlformats.org/officeDocument/2006/relationships/hyperlink" Target="https://www.ebay.com/itm/227243769685" TargetMode="External"/><Relationship Id="rId28" Type="http://schemas.openxmlformats.org/officeDocument/2006/relationships/hyperlink" Target="https://www.ebay.com/itm/227235052305" TargetMode="External"/><Relationship Id="rId36" Type="http://schemas.openxmlformats.org/officeDocument/2006/relationships/hyperlink" Target="https://www.ebay.com/itm/336439644317" TargetMode="External"/><Relationship Id="rId49" Type="http://schemas.openxmlformats.org/officeDocument/2006/relationships/hyperlink" Target="https://www.ebay.com/itm/168118427576" TargetMode="External"/><Relationship Id="rId57" Type="http://schemas.openxmlformats.org/officeDocument/2006/relationships/hyperlink" Target="https://www.ebay.com/itm/306686574665" TargetMode="External"/><Relationship Id="rId10" Type="http://schemas.openxmlformats.org/officeDocument/2006/relationships/hyperlink" Target="https://www.ebay.com/itm/358400174026" TargetMode="External"/><Relationship Id="rId31" Type="http://schemas.openxmlformats.org/officeDocument/2006/relationships/hyperlink" Target="https://www.ebay.com/itm/188075102279" TargetMode="External"/><Relationship Id="rId44" Type="http://schemas.openxmlformats.org/officeDocument/2006/relationships/hyperlink" Target="https://www.ebay.com/itm/147128670187" TargetMode="External"/><Relationship Id="rId52" Type="http://schemas.openxmlformats.org/officeDocument/2006/relationships/hyperlink" Target="https://www.ebay.com/itm/277574402016" TargetMode="External"/><Relationship Id="rId60" Type="http://schemas.openxmlformats.org/officeDocument/2006/relationships/hyperlink" Target="https://www.amazon.com/dp/B0GR1JTFP8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pane ySplit="1" topLeftCell="A2" activePane="bottomLeft" state="frozen"/>
      <selection pane="bottomLeft" activeCell="A4" sqref="A4:XFD4"/>
    </sheetView>
  </sheetViews>
  <sheetFormatPr defaultRowHeight="15" x14ac:dyDescent="0.25"/>
  <cols>
    <col min="1" max="1" width="83.5703125" customWidth="1"/>
    <col min="2" max="2" width="9.140625" style="6"/>
    <col min="3" max="3" width="9.140625" style="2"/>
    <col min="4" max="4" width="9.140625" style="8"/>
    <col min="5" max="5" width="12.7109375" style="2" customWidth="1"/>
    <col min="6" max="6" width="18.140625" style="16" customWidth="1"/>
    <col min="7" max="7" width="18.42578125" style="18" customWidth="1"/>
    <col min="8" max="8" width="18.42578125" customWidth="1"/>
  </cols>
  <sheetData>
    <row r="1" spans="1:7" x14ac:dyDescent="0.25">
      <c r="A1" s="3" t="s">
        <v>56</v>
      </c>
      <c r="B1" s="5" t="s">
        <v>57</v>
      </c>
      <c r="C1" s="4" t="s">
        <v>58</v>
      </c>
      <c r="D1" s="7" t="s">
        <v>59</v>
      </c>
      <c r="E1" s="5" t="s">
        <v>68</v>
      </c>
      <c r="F1" s="15" t="s">
        <v>66</v>
      </c>
      <c r="G1" s="17" t="s">
        <v>65</v>
      </c>
    </row>
    <row r="2" spans="1:7" x14ac:dyDescent="0.25">
      <c r="A2" s="1" t="s">
        <v>0</v>
      </c>
      <c r="B2" s="6">
        <v>113</v>
      </c>
      <c r="C2" s="2">
        <v>1</v>
      </c>
      <c r="D2" s="8">
        <f>B2*C2</f>
        <v>113</v>
      </c>
      <c r="E2" s="6">
        <f>B2+35</f>
        <v>148</v>
      </c>
      <c r="F2" s="16">
        <v>306.5</v>
      </c>
      <c r="G2" s="18">
        <f>F2*1550</f>
        <v>475075</v>
      </c>
    </row>
    <row r="3" spans="1:7" x14ac:dyDescent="0.25">
      <c r="A3" s="1" t="s">
        <v>1</v>
      </c>
      <c r="B3" s="6">
        <v>256.5</v>
      </c>
      <c r="C3" s="2">
        <v>7</v>
      </c>
      <c r="D3" s="8">
        <f t="shared" ref="D3:D64" si="0">B3*C3</f>
        <v>1795.5</v>
      </c>
      <c r="E3" s="6">
        <f>B3+35</f>
        <v>291.5</v>
      </c>
      <c r="F3" s="16">
        <v>500</v>
      </c>
      <c r="G3" s="18">
        <f t="shared" ref="G3:G64" si="1">F3*1550</f>
        <v>775000</v>
      </c>
    </row>
    <row r="4" spans="1:7" x14ac:dyDescent="0.25">
      <c r="A4" s="1" t="s">
        <v>2</v>
      </c>
      <c r="B4" s="6">
        <v>176</v>
      </c>
      <c r="C4" s="2">
        <v>1</v>
      </c>
      <c r="D4" s="8">
        <f t="shared" si="0"/>
        <v>176</v>
      </c>
      <c r="E4" s="6">
        <f>B4+35</f>
        <v>211</v>
      </c>
      <c r="F4" s="16">
        <v>440</v>
      </c>
      <c r="G4" s="18">
        <f t="shared" si="1"/>
        <v>682000</v>
      </c>
    </row>
    <row r="5" spans="1:7" x14ac:dyDescent="0.25">
      <c r="A5" s="1" t="s">
        <v>3</v>
      </c>
      <c r="B5" s="6">
        <v>18.5</v>
      </c>
      <c r="C5" s="2">
        <v>6</v>
      </c>
      <c r="D5" s="8">
        <f t="shared" si="0"/>
        <v>111</v>
      </c>
      <c r="E5" s="6">
        <f>B5+5</f>
        <v>23.5</v>
      </c>
      <c r="F5" s="16">
        <v>52</v>
      </c>
      <c r="G5" s="18">
        <f t="shared" si="1"/>
        <v>80600</v>
      </c>
    </row>
    <row r="6" spans="1:7" x14ac:dyDescent="0.25">
      <c r="A6" s="1" t="s">
        <v>4</v>
      </c>
      <c r="B6" s="6">
        <v>100</v>
      </c>
      <c r="C6" s="2">
        <v>8</v>
      </c>
      <c r="D6" s="8">
        <f t="shared" si="0"/>
        <v>800</v>
      </c>
      <c r="E6" s="6">
        <f t="shared" ref="E6:E58" si="2">B6+35</f>
        <v>135</v>
      </c>
      <c r="F6" s="16">
        <v>290.5</v>
      </c>
      <c r="G6" s="18">
        <f t="shared" si="1"/>
        <v>450275</v>
      </c>
    </row>
    <row r="7" spans="1:7" x14ac:dyDescent="0.25">
      <c r="A7" s="1" t="s">
        <v>5</v>
      </c>
      <c r="B7" s="6">
        <v>280</v>
      </c>
      <c r="C7" s="2">
        <v>1</v>
      </c>
      <c r="D7" s="8">
        <f t="shared" si="0"/>
        <v>280</v>
      </c>
      <c r="E7" s="6">
        <f t="shared" si="2"/>
        <v>315</v>
      </c>
      <c r="F7" s="16">
        <v>416.5</v>
      </c>
      <c r="G7" s="18">
        <f t="shared" si="1"/>
        <v>645575</v>
      </c>
    </row>
    <row r="8" spans="1:7" x14ac:dyDescent="0.25">
      <c r="A8" s="1" t="s">
        <v>6</v>
      </c>
      <c r="B8" s="6">
        <v>114.5</v>
      </c>
      <c r="C8" s="2">
        <v>2</v>
      </c>
      <c r="D8" s="8">
        <f t="shared" si="0"/>
        <v>229</v>
      </c>
      <c r="E8" s="6">
        <f t="shared" si="2"/>
        <v>149.5</v>
      </c>
      <c r="F8" s="16">
        <v>368</v>
      </c>
      <c r="G8" s="18">
        <f t="shared" si="1"/>
        <v>570400</v>
      </c>
    </row>
    <row r="9" spans="1:7" x14ac:dyDescent="0.25">
      <c r="A9" s="1" t="s">
        <v>7</v>
      </c>
      <c r="B9" s="6">
        <v>125</v>
      </c>
      <c r="C9" s="2">
        <v>4</v>
      </c>
      <c r="D9" s="8">
        <f t="shared" si="0"/>
        <v>500</v>
      </c>
      <c r="E9" s="6">
        <f t="shared" si="2"/>
        <v>160</v>
      </c>
      <c r="F9" s="16">
        <v>249</v>
      </c>
      <c r="G9" s="18">
        <f t="shared" si="1"/>
        <v>385950</v>
      </c>
    </row>
    <row r="10" spans="1:7" x14ac:dyDescent="0.25">
      <c r="A10" s="1" t="s">
        <v>8</v>
      </c>
      <c r="B10" s="6">
        <v>192.5</v>
      </c>
      <c r="C10" s="2">
        <v>4</v>
      </c>
      <c r="D10" s="8">
        <f t="shared" si="0"/>
        <v>770</v>
      </c>
      <c r="E10" s="6">
        <f t="shared" si="2"/>
        <v>227.5</v>
      </c>
      <c r="F10" s="16">
        <v>323</v>
      </c>
      <c r="G10" s="18">
        <f t="shared" si="1"/>
        <v>500650</v>
      </c>
    </row>
    <row r="11" spans="1:7" x14ac:dyDescent="0.25">
      <c r="A11" s="1" t="s">
        <v>9</v>
      </c>
      <c r="B11" s="6">
        <v>167.5</v>
      </c>
      <c r="C11" s="2">
        <v>4</v>
      </c>
      <c r="D11" s="8">
        <f t="shared" si="0"/>
        <v>670</v>
      </c>
      <c r="E11" s="6">
        <f t="shared" si="2"/>
        <v>202.5</v>
      </c>
      <c r="F11" s="16">
        <v>290.5</v>
      </c>
      <c r="G11" s="18">
        <f t="shared" si="1"/>
        <v>450275</v>
      </c>
    </row>
    <row r="12" spans="1:7" x14ac:dyDescent="0.25">
      <c r="A12" s="1" t="s">
        <v>10</v>
      </c>
      <c r="B12" s="6">
        <v>235</v>
      </c>
      <c r="C12" s="2">
        <v>2</v>
      </c>
      <c r="D12" s="8">
        <f t="shared" si="0"/>
        <v>470</v>
      </c>
      <c r="E12" s="6">
        <f t="shared" si="2"/>
        <v>270</v>
      </c>
      <c r="F12" s="16">
        <v>470</v>
      </c>
      <c r="G12" s="18">
        <f t="shared" si="1"/>
        <v>728500</v>
      </c>
    </row>
    <row r="13" spans="1:7" x14ac:dyDescent="0.25">
      <c r="A13" s="1" t="s">
        <v>11</v>
      </c>
      <c r="B13" s="6">
        <v>250</v>
      </c>
      <c r="C13" s="2">
        <v>3</v>
      </c>
      <c r="D13" s="8">
        <f t="shared" si="0"/>
        <v>750</v>
      </c>
      <c r="E13" s="6">
        <f t="shared" si="2"/>
        <v>285</v>
      </c>
      <c r="F13" s="16">
        <v>470</v>
      </c>
      <c r="G13" s="18">
        <f t="shared" si="1"/>
        <v>728500</v>
      </c>
    </row>
    <row r="14" spans="1:7" x14ac:dyDescent="0.25">
      <c r="A14" s="1" t="s">
        <v>12</v>
      </c>
      <c r="B14" s="6">
        <v>216.8</v>
      </c>
      <c r="C14" s="2">
        <v>9</v>
      </c>
      <c r="D14" s="8">
        <f t="shared" si="0"/>
        <v>1951.2</v>
      </c>
      <c r="E14" s="6">
        <f t="shared" si="2"/>
        <v>251.8</v>
      </c>
      <c r="F14" s="16">
        <v>452</v>
      </c>
      <c r="G14" s="18">
        <f t="shared" si="1"/>
        <v>700600</v>
      </c>
    </row>
    <row r="15" spans="1:7" x14ac:dyDescent="0.25">
      <c r="A15" s="1" t="s">
        <v>13</v>
      </c>
      <c r="B15" s="6">
        <v>176</v>
      </c>
      <c r="C15" s="2">
        <v>1</v>
      </c>
      <c r="D15" s="8">
        <f t="shared" si="0"/>
        <v>176</v>
      </c>
      <c r="E15" s="6">
        <f t="shared" si="2"/>
        <v>211</v>
      </c>
      <c r="F15" s="16">
        <v>365</v>
      </c>
      <c r="G15" s="18">
        <f t="shared" si="1"/>
        <v>565750</v>
      </c>
    </row>
    <row r="16" spans="1:7" x14ac:dyDescent="0.25">
      <c r="A16" s="1" t="s">
        <v>14</v>
      </c>
      <c r="B16" s="6">
        <v>581</v>
      </c>
      <c r="C16" s="2">
        <v>1</v>
      </c>
      <c r="D16" s="8">
        <f t="shared" si="0"/>
        <v>581</v>
      </c>
      <c r="E16" s="6">
        <f t="shared" si="2"/>
        <v>616</v>
      </c>
      <c r="F16" s="16">
        <v>903.5</v>
      </c>
      <c r="G16" s="18">
        <f t="shared" si="1"/>
        <v>1400425</v>
      </c>
    </row>
    <row r="17" spans="1:7" x14ac:dyDescent="0.25">
      <c r="A17" s="1" t="s">
        <v>15</v>
      </c>
      <c r="B17" s="6">
        <v>386.5</v>
      </c>
      <c r="C17" s="2">
        <v>1</v>
      </c>
      <c r="D17" s="8">
        <f t="shared" si="0"/>
        <v>386.5</v>
      </c>
      <c r="E17" s="6">
        <f t="shared" si="2"/>
        <v>421.5</v>
      </c>
      <c r="F17" s="16">
        <v>552</v>
      </c>
      <c r="G17" s="18">
        <f t="shared" si="1"/>
        <v>855600</v>
      </c>
    </row>
    <row r="18" spans="1:7" x14ac:dyDescent="0.25">
      <c r="A18" s="1" t="s">
        <v>16</v>
      </c>
      <c r="B18" s="6">
        <v>366</v>
      </c>
      <c r="C18" s="2">
        <v>1</v>
      </c>
      <c r="D18" s="8">
        <f t="shared" si="0"/>
        <v>366</v>
      </c>
      <c r="E18" s="6">
        <f t="shared" si="2"/>
        <v>401</v>
      </c>
      <c r="F18" s="16">
        <v>600</v>
      </c>
      <c r="G18" s="18">
        <f t="shared" si="1"/>
        <v>930000</v>
      </c>
    </row>
    <row r="19" spans="1:7" x14ac:dyDescent="0.25">
      <c r="A19" s="1" t="s">
        <v>17</v>
      </c>
      <c r="B19" s="6">
        <v>187</v>
      </c>
      <c r="C19" s="2">
        <v>7</v>
      </c>
      <c r="D19" s="8">
        <f t="shared" si="0"/>
        <v>1309</v>
      </c>
      <c r="E19" s="6">
        <f t="shared" si="2"/>
        <v>222</v>
      </c>
      <c r="F19" s="16">
        <v>352</v>
      </c>
      <c r="G19" s="18">
        <f t="shared" si="1"/>
        <v>545600</v>
      </c>
    </row>
    <row r="20" spans="1:7" x14ac:dyDescent="0.25">
      <c r="A20" s="1" t="s">
        <v>18</v>
      </c>
      <c r="B20" s="6">
        <v>170</v>
      </c>
      <c r="C20" s="2">
        <v>1</v>
      </c>
      <c r="D20" s="8">
        <f t="shared" si="0"/>
        <v>170</v>
      </c>
      <c r="E20" s="6">
        <f t="shared" si="2"/>
        <v>205</v>
      </c>
      <c r="F20" s="16">
        <v>419.5</v>
      </c>
      <c r="G20" s="18">
        <f t="shared" si="1"/>
        <v>650225</v>
      </c>
    </row>
    <row r="21" spans="1:7" x14ac:dyDescent="0.25">
      <c r="A21" s="1" t="s">
        <v>19</v>
      </c>
      <c r="B21" s="6">
        <v>48.5</v>
      </c>
      <c r="C21" s="2">
        <v>3</v>
      </c>
      <c r="D21" s="8">
        <f t="shared" si="0"/>
        <v>145.5</v>
      </c>
      <c r="E21" s="6">
        <f>B21+5</f>
        <v>53.5</v>
      </c>
      <c r="F21" s="16">
        <v>81</v>
      </c>
      <c r="G21" s="18">
        <f t="shared" si="1"/>
        <v>125550</v>
      </c>
    </row>
    <row r="22" spans="1:7" x14ac:dyDescent="0.25">
      <c r="A22" s="1" t="s">
        <v>20</v>
      </c>
      <c r="B22" s="6">
        <v>190</v>
      </c>
      <c r="C22" s="2">
        <v>3</v>
      </c>
      <c r="D22" s="8">
        <f t="shared" si="0"/>
        <v>570</v>
      </c>
      <c r="E22" s="6">
        <f t="shared" si="2"/>
        <v>225</v>
      </c>
      <c r="F22" s="16">
        <v>448.5</v>
      </c>
      <c r="G22" s="18">
        <f t="shared" si="1"/>
        <v>695175</v>
      </c>
    </row>
    <row r="23" spans="1:7" x14ac:dyDescent="0.25">
      <c r="A23" s="1" t="s">
        <v>21</v>
      </c>
      <c r="B23" s="6">
        <v>166</v>
      </c>
      <c r="C23" s="2">
        <v>2</v>
      </c>
      <c r="D23" s="8">
        <f t="shared" si="0"/>
        <v>332</v>
      </c>
      <c r="E23" s="6">
        <f t="shared" si="2"/>
        <v>201</v>
      </c>
      <c r="F23" s="16">
        <v>355</v>
      </c>
      <c r="G23" s="18">
        <f t="shared" si="1"/>
        <v>550250</v>
      </c>
    </row>
    <row r="24" spans="1:7" x14ac:dyDescent="0.25">
      <c r="A24" s="1" t="s">
        <v>22</v>
      </c>
      <c r="B24" s="6">
        <v>55</v>
      </c>
      <c r="C24" s="2">
        <v>1</v>
      </c>
      <c r="D24" s="8">
        <f t="shared" si="0"/>
        <v>55</v>
      </c>
      <c r="E24" s="6">
        <f t="shared" si="2"/>
        <v>90</v>
      </c>
      <c r="F24" s="16">
        <v>110</v>
      </c>
      <c r="G24" s="18">
        <f t="shared" si="1"/>
        <v>170500</v>
      </c>
    </row>
    <row r="25" spans="1:7" x14ac:dyDescent="0.25">
      <c r="A25" s="1" t="s">
        <v>23</v>
      </c>
      <c r="B25" s="6">
        <v>200</v>
      </c>
      <c r="C25" s="2">
        <v>1</v>
      </c>
      <c r="D25" s="8">
        <f t="shared" si="0"/>
        <v>200</v>
      </c>
      <c r="E25" s="6">
        <f t="shared" si="2"/>
        <v>235</v>
      </c>
      <c r="F25" s="16">
        <v>355</v>
      </c>
      <c r="G25" s="18">
        <f t="shared" si="1"/>
        <v>550250</v>
      </c>
    </row>
    <row r="26" spans="1:7" x14ac:dyDescent="0.25">
      <c r="A26" s="1" t="s">
        <v>24</v>
      </c>
      <c r="B26" s="6">
        <v>225</v>
      </c>
      <c r="C26" s="2">
        <v>1</v>
      </c>
      <c r="D26" s="8">
        <f t="shared" si="0"/>
        <v>225</v>
      </c>
      <c r="E26" s="6">
        <f t="shared" si="2"/>
        <v>260</v>
      </c>
      <c r="F26" s="16">
        <v>355</v>
      </c>
      <c r="G26" s="18">
        <f t="shared" si="1"/>
        <v>550250</v>
      </c>
    </row>
    <row r="27" spans="1:7" x14ac:dyDescent="0.25">
      <c r="A27" s="1" t="s">
        <v>25</v>
      </c>
      <c r="B27" s="6">
        <v>126</v>
      </c>
      <c r="C27" s="2">
        <v>1</v>
      </c>
      <c r="D27" s="8">
        <f t="shared" si="0"/>
        <v>126</v>
      </c>
      <c r="E27" s="6">
        <f t="shared" si="2"/>
        <v>161</v>
      </c>
      <c r="F27" s="16">
        <v>355</v>
      </c>
      <c r="G27" s="18">
        <f t="shared" si="1"/>
        <v>550250</v>
      </c>
    </row>
    <row r="28" spans="1:7" x14ac:dyDescent="0.25">
      <c r="A28" s="1" t="s">
        <v>26</v>
      </c>
      <c r="B28" s="6">
        <v>102</v>
      </c>
      <c r="C28" s="2">
        <v>2</v>
      </c>
      <c r="D28" s="8">
        <f t="shared" si="0"/>
        <v>204</v>
      </c>
      <c r="E28" s="6">
        <f t="shared" si="2"/>
        <v>137</v>
      </c>
      <c r="F28" s="16">
        <v>258.5</v>
      </c>
      <c r="G28" s="18">
        <f t="shared" si="1"/>
        <v>400675</v>
      </c>
    </row>
    <row r="29" spans="1:7" x14ac:dyDescent="0.25">
      <c r="A29" s="1" t="s">
        <v>27</v>
      </c>
      <c r="B29" s="6">
        <v>275</v>
      </c>
      <c r="C29" s="2">
        <v>1</v>
      </c>
      <c r="D29" s="8">
        <f t="shared" si="0"/>
        <v>275</v>
      </c>
      <c r="E29" s="6">
        <f t="shared" si="2"/>
        <v>310</v>
      </c>
      <c r="F29" s="16">
        <v>442</v>
      </c>
      <c r="G29" s="18">
        <f t="shared" si="1"/>
        <v>685100</v>
      </c>
    </row>
    <row r="30" spans="1:7" x14ac:dyDescent="0.25">
      <c r="A30" s="1" t="s">
        <v>28</v>
      </c>
      <c r="B30" s="6">
        <v>175</v>
      </c>
      <c r="C30" s="2">
        <v>2</v>
      </c>
      <c r="D30" s="8">
        <f t="shared" si="0"/>
        <v>350</v>
      </c>
      <c r="E30" s="6">
        <f t="shared" si="2"/>
        <v>210</v>
      </c>
      <c r="F30" s="16">
        <v>310</v>
      </c>
      <c r="G30" s="18">
        <f t="shared" si="1"/>
        <v>480500</v>
      </c>
    </row>
    <row r="31" spans="1:7" x14ac:dyDescent="0.25">
      <c r="A31" s="1" t="s">
        <v>29</v>
      </c>
      <c r="B31" s="6">
        <v>181</v>
      </c>
      <c r="C31" s="2">
        <v>6</v>
      </c>
      <c r="D31" s="8">
        <f t="shared" si="0"/>
        <v>1086</v>
      </c>
      <c r="E31" s="6">
        <f t="shared" si="2"/>
        <v>216</v>
      </c>
      <c r="F31" s="16">
        <v>310</v>
      </c>
      <c r="G31" s="18">
        <f t="shared" si="1"/>
        <v>480500</v>
      </c>
    </row>
    <row r="32" spans="1:7" x14ac:dyDescent="0.25">
      <c r="A32" s="1" t="s">
        <v>30</v>
      </c>
      <c r="B32" s="6">
        <v>26</v>
      </c>
      <c r="C32" s="2">
        <v>1</v>
      </c>
      <c r="D32" s="8">
        <f t="shared" si="0"/>
        <v>26</v>
      </c>
      <c r="E32" s="6">
        <f>B32+5</f>
        <v>31</v>
      </c>
      <c r="F32" s="16">
        <v>120</v>
      </c>
      <c r="G32" s="18">
        <f t="shared" si="1"/>
        <v>186000</v>
      </c>
    </row>
    <row r="33" spans="1:8" x14ac:dyDescent="0.25">
      <c r="A33" s="1" t="s">
        <v>31</v>
      </c>
      <c r="B33" s="6">
        <v>41</v>
      </c>
      <c r="C33" s="2">
        <v>1</v>
      </c>
      <c r="D33" s="8">
        <f t="shared" si="0"/>
        <v>41</v>
      </c>
      <c r="E33" s="6">
        <f>B33+5</f>
        <v>46</v>
      </c>
      <c r="F33" s="16">
        <v>84</v>
      </c>
      <c r="G33" s="18">
        <f t="shared" si="1"/>
        <v>130200</v>
      </c>
    </row>
    <row r="34" spans="1:8" x14ac:dyDescent="0.25">
      <c r="A34" s="1" t="s">
        <v>32</v>
      </c>
      <c r="B34" s="6">
        <v>263</v>
      </c>
      <c r="C34" s="2">
        <v>1</v>
      </c>
      <c r="D34" s="8">
        <f t="shared" si="0"/>
        <v>263</v>
      </c>
      <c r="E34" s="6">
        <f t="shared" si="2"/>
        <v>298</v>
      </c>
      <c r="F34" s="16">
        <v>500</v>
      </c>
      <c r="G34" s="18">
        <f t="shared" si="1"/>
        <v>775000</v>
      </c>
    </row>
    <row r="35" spans="1:8" x14ac:dyDescent="0.25">
      <c r="A35" s="1" t="s">
        <v>33</v>
      </c>
      <c r="B35" s="6">
        <v>200</v>
      </c>
      <c r="C35" s="2">
        <v>4</v>
      </c>
      <c r="D35" s="8">
        <f t="shared" si="0"/>
        <v>800</v>
      </c>
      <c r="E35" s="6">
        <f t="shared" si="2"/>
        <v>235</v>
      </c>
      <c r="F35" s="16">
        <v>500</v>
      </c>
      <c r="G35" s="18">
        <f t="shared" si="1"/>
        <v>775000</v>
      </c>
    </row>
    <row r="36" spans="1:8" x14ac:dyDescent="0.25">
      <c r="A36" s="1" t="s">
        <v>34</v>
      </c>
      <c r="B36" s="6">
        <v>400</v>
      </c>
      <c r="C36" s="2">
        <v>2</v>
      </c>
      <c r="D36" s="8">
        <f t="shared" si="0"/>
        <v>800</v>
      </c>
      <c r="E36" s="6">
        <f t="shared" si="2"/>
        <v>435</v>
      </c>
      <c r="F36" s="16">
        <v>640</v>
      </c>
      <c r="G36" s="18">
        <f t="shared" si="1"/>
        <v>992000</v>
      </c>
    </row>
    <row r="37" spans="1:8" x14ac:dyDescent="0.25">
      <c r="A37" s="1" t="s">
        <v>35</v>
      </c>
      <c r="B37" s="6">
        <v>230</v>
      </c>
      <c r="C37" s="2">
        <v>1</v>
      </c>
      <c r="D37" s="8">
        <f t="shared" si="0"/>
        <v>230</v>
      </c>
      <c r="E37" s="6">
        <f t="shared" si="2"/>
        <v>265</v>
      </c>
      <c r="F37" s="16">
        <v>500</v>
      </c>
      <c r="G37" s="18">
        <f t="shared" si="1"/>
        <v>775000</v>
      </c>
      <c r="H37" s="2" t="s">
        <v>67</v>
      </c>
    </row>
    <row r="38" spans="1:8" x14ac:dyDescent="0.25">
      <c r="A38" s="1" t="s">
        <v>36</v>
      </c>
      <c r="B38" s="6">
        <v>366</v>
      </c>
      <c r="C38" s="2">
        <v>5</v>
      </c>
      <c r="D38" s="8">
        <f t="shared" si="0"/>
        <v>1830</v>
      </c>
      <c r="E38" s="6">
        <f t="shared" si="2"/>
        <v>401</v>
      </c>
      <c r="F38" s="16">
        <v>516.5</v>
      </c>
      <c r="G38" s="18">
        <f t="shared" si="1"/>
        <v>800575</v>
      </c>
    </row>
    <row r="39" spans="1:8" x14ac:dyDescent="0.25">
      <c r="A39" s="1" t="s">
        <v>37</v>
      </c>
      <c r="B39" s="6">
        <v>300</v>
      </c>
      <c r="C39" s="2">
        <v>1</v>
      </c>
      <c r="D39" s="8">
        <f t="shared" si="0"/>
        <v>300</v>
      </c>
      <c r="E39" s="6">
        <f t="shared" si="2"/>
        <v>335</v>
      </c>
      <c r="F39" s="16">
        <v>640</v>
      </c>
      <c r="G39" s="18">
        <f t="shared" si="1"/>
        <v>992000</v>
      </c>
    </row>
    <row r="40" spans="1:8" x14ac:dyDescent="0.25">
      <c r="A40" s="1" t="s">
        <v>38</v>
      </c>
      <c r="B40" s="6">
        <v>250</v>
      </c>
      <c r="C40" s="2">
        <v>2</v>
      </c>
      <c r="D40" s="8">
        <f t="shared" si="0"/>
        <v>500</v>
      </c>
      <c r="E40" s="6">
        <f t="shared" si="2"/>
        <v>285</v>
      </c>
      <c r="F40" s="16">
        <v>500</v>
      </c>
      <c r="G40" s="18">
        <f t="shared" si="1"/>
        <v>775000</v>
      </c>
    </row>
    <row r="41" spans="1:8" x14ac:dyDescent="0.25">
      <c r="A41" s="1" t="s">
        <v>39</v>
      </c>
      <c r="B41" s="6">
        <v>187</v>
      </c>
      <c r="C41" s="2">
        <v>1</v>
      </c>
      <c r="D41" s="8">
        <f t="shared" si="0"/>
        <v>187</v>
      </c>
      <c r="E41" s="6">
        <f t="shared" si="2"/>
        <v>222</v>
      </c>
      <c r="F41" s="16">
        <v>300</v>
      </c>
      <c r="G41" s="18">
        <f t="shared" si="1"/>
        <v>465000</v>
      </c>
    </row>
    <row r="42" spans="1:8" x14ac:dyDescent="0.25">
      <c r="A42" s="1" t="s">
        <v>40</v>
      </c>
      <c r="B42" s="6">
        <v>135</v>
      </c>
      <c r="C42" s="2">
        <v>5</v>
      </c>
      <c r="D42" s="8">
        <f t="shared" si="0"/>
        <v>675</v>
      </c>
      <c r="E42" s="6">
        <f t="shared" si="2"/>
        <v>170</v>
      </c>
      <c r="F42" s="16">
        <v>290.5</v>
      </c>
      <c r="G42" s="18">
        <f t="shared" si="1"/>
        <v>450275</v>
      </c>
    </row>
    <row r="43" spans="1:8" x14ac:dyDescent="0.25">
      <c r="A43" s="1" t="s">
        <v>41</v>
      </c>
      <c r="B43" s="6">
        <v>640</v>
      </c>
      <c r="C43" s="2">
        <v>1</v>
      </c>
      <c r="D43" s="8">
        <f t="shared" si="0"/>
        <v>640</v>
      </c>
      <c r="E43" s="6">
        <f t="shared" si="2"/>
        <v>675</v>
      </c>
      <c r="F43" s="16">
        <v>1048.5</v>
      </c>
      <c r="G43" s="18">
        <f t="shared" si="1"/>
        <v>1625175</v>
      </c>
    </row>
    <row r="44" spans="1:8" x14ac:dyDescent="0.25">
      <c r="A44" s="1" t="s">
        <v>42</v>
      </c>
      <c r="B44" s="6">
        <v>162.5</v>
      </c>
      <c r="C44" s="2">
        <v>2</v>
      </c>
      <c r="D44" s="8">
        <f t="shared" si="0"/>
        <v>325</v>
      </c>
      <c r="E44" s="6">
        <f t="shared" si="2"/>
        <v>197.5</v>
      </c>
      <c r="F44" s="16">
        <v>310</v>
      </c>
      <c r="G44" s="18">
        <f t="shared" si="1"/>
        <v>480500</v>
      </c>
    </row>
    <row r="45" spans="1:8" x14ac:dyDescent="0.25">
      <c r="A45" s="1" t="s">
        <v>43</v>
      </c>
      <c r="B45" s="6">
        <v>282</v>
      </c>
      <c r="C45" s="2">
        <v>1</v>
      </c>
      <c r="D45" s="8">
        <f t="shared" si="0"/>
        <v>282</v>
      </c>
      <c r="E45" s="6">
        <f t="shared" si="2"/>
        <v>317</v>
      </c>
      <c r="F45" s="16">
        <v>419.5</v>
      </c>
      <c r="G45" s="18">
        <f t="shared" si="1"/>
        <v>650225</v>
      </c>
    </row>
    <row r="46" spans="1:8" x14ac:dyDescent="0.25">
      <c r="A46" s="1" t="s">
        <v>44</v>
      </c>
      <c r="B46" s="6">
        <v>230</v>
      </c>
      <c r="C46" s="2">
        <v>1</v>
      </c>
      <c r="D46" s="8">
        <f t="shared" si="0"/>
        <v>230</v>
      </c>
      <c r="E46" s="6">
        <f t="shared" si="2"/>
        <v>265</v>
      </c>
      <c r="F46" s="16">
        <v>500</v>
      </c>
      <c r="G46" s="18">
        <f t="shared" si="1"/>
        <v>775000</v>
      </c>
    </row>
    <row r="47" spans="1:8" x14ac:dyDescent="0.25">
      <c r="A47" s="1" t="s">
        <v>45</v>
      </c>
      <c r="B47" s="6">
        <v>351</v>
      </c>
      <c r="C47" s="2">
        <v>1</v>
      </c>
      <c r="D47" s="8">
        <f t="shared" si="0"/>
        <v>351</v>
      </c>
      <c r="E47" s="6">
        <f t="shared" si="2"/>
        <v>386</v>
      </c>
      <c r="F47" s="16">
        <v>516.5</v>
      </c>
      <c r="G47" s="18">
        <f t="shared" si="1"/>
        <v>800575</v>
      </c>
    </row>
    <row r="48" spans="1:8" x14ac:dyDescent="0.25">
      <c r="A48" s="1" t="s">
        <v>46</v>
      </c>
      <c r="B48" s="6">
        <v>700</v>
      </c>
      <c r="C48" s="2">
        <v>2</v>
      </c>
      <c r="D48" s="8">
        <f t="shared" si="0"/>
        <v>1400</v>
      </c>
      <c r="E48" s="6">
        <f t="shared" si="2"/>
        <v>735</v>
      </c>
      <c r="F48" s="16">
        <v>1000</v>
      </c>
      <c r="G48" s="18">
        <f t="shared" si="1"/>
        <v>1550000</v>
      </c>
    </row>
    <row r="49" spans="1:7" x14ac:dyDescent="0.25">
      <c r="A49" s="1" t="s">
        <v>47</v>
      </c>
      <c r="B49" s="6">
        <v>476</v>
      </c>
      <c r="C49" s="2">
        <v>1</v>
      </c>
      <c r="D49" s="8">
        <f t="shared" si="0"/>
        <v>476</v>
      </c>
      <c r="E49" s="6">
        <f t="shared" si="2"/>
        <v>511</v>
      </c>
      <c r="F49" s="16">
        <v>700</v>
      </c>
      <c r="G49" s="18">
        <f t="shared" si="1"/>
        <v>1085000</v>
      </c>
    </row>
    <row r="50" spans="1:7" x14ac:dyDescent="0.25">
      <c r="A50" s="1" t="s">
        <v>48</v>
      </c>
      <c r="B50" s="6">
        <v>145</v>
      </c>
      <c r="C50" s="2">
        <v>2</v>
      </c>
      <c r="D50" s="8">
        <f t="shared" si="0"/>
        <v>290</v>
      </c>
      <c r="E50" s="6">
        <f t="shared" si="2"/>
        <v>180</v>
      </c>
      <c r="F50" s="16">
        <v>300</v>
      </c>
      <c r="G50" s="18">
        <f t="shared" si="1"/>
        <v>465000</v>
      </c>
    </row>
    <row r="51" spans="1:7" x14ac:dyDescent="0.25">
      <c r="A51" s="1" t="s">
        <v>49</v>
      </c>
      <c r="B51" s="6">
        <v>251</v>
      </c>
      <c r="C51" s="2">
        <v>5</v>
      </c>
      <c r="D51" s="8">
        <f t="shared" si="0"/>
        <v>1255</v>
      </c>
      <c r="E51" s="6">
        <f t="shared" si="2"/>
        <v>286</v>
      </c>
      <c r="F51" s="16">
        <v>419.5</v>
      </c>
      <c r="G51" s="18">
        <f t="shared" si="1"/>
        <v>650225</v>
      </c>
    </row>
    <row r="52" spans="1:7" x14ac:dyDescent="0.25">
      <c r="A52" s="1" t="s">
        <v>50</v>
      </c>
      <c r="B52" s="6">
        <v>35</v>
      </c>
      <c r="C52" s="2">
        <v>1</v>
      </c>
      <c r="D52" s="8">
        <f t="shared" si="0"/>
        <v>35</v>
      </c>
      <c r="E52" s="6">
        <f>B52+5</f>
        <v>40</v>
      </c>
      <c r="F52" s="16">
        <v>58.5</v>
      </c>
      <c r="G52" s="18">
        <f t="shared" si="1"/>
        <v>90675</v>
      </c>
    </row>
    <row r="53" spans="1:7" x14ac:dyDescent="0.25">
      <c r="A53" s="1" t="s">
        <v>51</v>
      </c>
      <c r="B53" s="6">
        <v>55</v>
      </c>
      <c r="C53" s="2">
        <v>31</v>
      </c>
      <c r="D53" s="8">
        <f t="shared" si="0"/>
        <v>1705</v>
      </c>
      <c r="E53" s="6">
        <f>B53+5</f>
        <v>60</v>
      </c>
      <c r="F53" s="16">
        <v>119.5</v>
      </c>
      <c r="G53" s="18">
        <f t="shared" si="1"/>
        <v>185225</v>
      </c>
    </row>
    <row r="54" spans="1:7" x14ac:dyDescent="0.25">
      <c r="A54" s="1" t="s">
        <v>52</v>
      </c>
      <c r="B54" s="6">
        <v>76.5</v>
      </c>
      <c r="C54" s="2">
        <v>1</v>
      </c>
      <c r="D54" s="8">
        <f t="shared" si="0"/>
        <v>76.5</v>
      </c>
      <c r="E54" s="6">
        <f>B54+5</f>
        <v>81.5</v>
      </c>
      <c r="F54" s="16">
        <v>152</v>
      </c>
      <c r="G54" s="18">
        <f t="shared" si="1"/>
        <v>235600</v>
      </c>
    </row>
    <row r="55" spans="1:7" x14ac:dyDescent="0.25">
      <c r="A55" s="1" t="s">
        <v>53</v>
      </c>
      <c r="B55" s="6">
        <v>62</v>
      </c>
      <c r="C55" s="2">
        <v>1</v>
      </c>
      <c r="D55" s="8">
        <f t="shared" si="0"/>
        <v>62</v>
      </c>
      <c r="E55" s="6">
        <f>B55+5</f>
        <v>67</v>
      </c>
      <c r="F55" s="16">
        <v>81</v>
      </c>
      <c r="G55" s="18">
        <f t="shared" si="1"/>
        <v>125550</v>
      </c>
    </row>
    <row r="56" spans="1:7" x14ac:dyDescent="0.25">
      <c r="A56" s="1" t="s">
        <v>69</v>
      </c>
      <c r="B56" s="6">
        <v>46</v>
      </c>
      <c r="C56" s="2">
        <v>1</v>
      </c>
      <c r="D56" s="8">
        <f t="shared" si="0"/>
        <v>46</v>
      </c>
      <c r="E56" s="6">
        <f>B56+5</f>
        <v>51</v>
      </c>
      <c r="F56" s="16">
        <v>120</v>
      </c>
      <c r="G56" s="18">
        <f t="shared" si="1"/>
        <v>186000</v>
      </c>
    </row>
    <row r="57" spans="1:7" x14ac:dyDescent="0.25">
      <c r="A57" s="1" t="s">
        <v>54</v>
      </c>
      <c r="B57" s="6">
        <v>130</v>
      </c>
      <c r="C57" s="2">
        <v>1</v>
      </c>
      <c r="D57" s="8">
        <f t="shared" si="0"/>
        <v>130</v>
      </c>
      <c r="E57" s="6">
        <f t="shared" si="2"/>
        <v>165</v>
      </c>
      <c r="F57" s="16">
        <v>400</v>
      </c>
      <c r="G57" s="18">
        <f t="shared" si="1"/>
        <v>620000</v>
      </c>
    </row>
    <row r="58" spans="1:7" x14ac:dyDescent="0.25">
      <c r="A58" s="1" t="s">
        <v>55</v>
      </c>
      <c r="B58" s="6">
        <v>113</v>
      </c>
      <c r="C58" s="2">
        <v>1</v>
      </c>
      <c r="D58" s="8">
        <f t="shared" si="0"/>
        <v>113</v>
      </c>
      <c r="E58" s="6">
        <f t="shared" si="2"/>
        <v>148</v>
      </c>
      <c r="F58" s="16">
        <v>248.5</v>
      </c>
      <c r="G58" s="18">
        <f t="shared" si="1"/>
        <v>385175</v>
      </c>
    </row>
    <row r="59" spans="1:7" x14ac:dyDescent="0.25">
      <c r="A59" s="11"/>
      <c r="B59" s="12"/>
      <c r="C59" s="13"/>
      <c r="D59" s="14"/>
      <c r="E59" s="14"/>
      <c r="F59" s="14"/>
      <c r="G59" s="14"/>
    </row>
    <row r="60" spans="1:7" x14ac:dyDescent="0.25">
      <c r="A60" s="9" t="s">
        <v>60</v>
      </c>
      <c r="B60" s="6">
        <v>14</v>
      </c>
      <c r="C60" s="2">
        <v>1</v>
      </c>
      <c r="D60" s="8">
        <f t="shared" si="0"/>
        <v>14</v>
      </c>
      <c r="E60" s="6"/>
      <c r="F60" s="16">
        <v>20</v>
      </c>
      <c r="G60" s="18">
        <f t="shared" si="1"/>
        <v>31000</v>
      </c>
    </row>
    <row r="61" spans="1:7" x14ac:dyDescent="0.25">
      <c r="A61" s="10" t="s">
        <v>61</v>
      </c>
      <c r="B61" s="6">
        <v>6</v>
      </c>
      <c r="C61" s="2">
        <v>1</v>
      </c>
      <c r="D61" s="8">
        <f t="shared" si="0"/>
        <v>6</v>
      </c>
      <c r="E61" s="6"/>
      <c r="G61" s="18">
        <f t="shared" si="1"/>
        <v>0</v>
      </c>
    </row>
    <row r="62" spans="1:7" x14ac:dyDescent="0.25">
      <c r="A62" s="9" t="s">
        <v>62</v>
      </c>
      <c r="B62" s="6">
        <v>26</v>
      </c>
      <c r="C62" s="2">
        <v>1</v>
      </c>
      <c r="D62" s="8">
        <f t="shared" si="0"/>
        <v>26</v>
      </c>
      <c r="E62" s="6"/>
      <c r="G62" s="18">
        <f t="shared" si="1"/>
        <v>0</v>
      </c>
    </row>
    <row r="63" spans="1:7" x14ac:dyDescent="0.25">
      <c r="A63" s="10" t="s">
        <v>63</v>
      </c>
      <c r="B63" s="6">
        <v>590</v>
      </c>
      <c r="C63" s="2">
        <v>2</v>
      </c>
      <c r="D63" s="8">
        <f t="shared" si="0"/>
        <v>1180</v>
      </c>
      <c r="E63" s="6">
        <f>B63+35</f>
        <v>625</v>
      </c>
      <c r="F63" s="16">
        <v>750</v>
      </c>
      <c r="G63" s="18">
        <f t="shared" si="1"/>
        <v>1162500</v>
      </c>
    </row>
    <row r="64" spans="1:7" x14ac:dyDescent="0.25">
      <c r="A64" s="10" t="s">
        <v>64</v>
      </c>
      <c r="B64" s="6">
        <v>950</v>
      </c>
      <c r="C64" s="2">
        <v>4</v>
      </c>
      <c r="D64" s="8">
        <f t="shared" si="0"/>
        <v>3800</v>
      </c>
      <c r="E64" s="6">
        <f>B64+35</f>
        <v>985</v>
      </c>
      <c r="F64" s="16">
        <v>1400</v>
      </c>
      <c r="G64" s="18">
        <f t="shared" si="1"/>
        <v>2170000</v>
      </c>
    </row>
  </sheetData>
  <hyperlinks>
    <hyperlink ref="A2" r:id="rId1" display="https://www.ebay.com/itm/257475087172" xr:uid="{105055C8-D9D0-4724-A7E9-B54AFB7818EA}"/>
    <hyperlink ref="A3" r:id="rId2" display="https://www.ebay.com/itm/366317976356" xr:uid="{46159194-BF62-4428-9F5A-2A5DC0899A8F}"/>
    <hyperlink ref="A4" r:id="rId3" display="https://www.ebay.com/itm/336538991074" xr:uid="{01A9A004-9880-4A75-87FC-2D696D7E06B9}"/>
    <hyperlink ref="A5" r:id="rId4" display="https://www.ebay.com/itm/227299217305" xr:uid="{B95D78E2-8D95-470A-AC48-702620A8007B}"/>
    <hyperlink ref="A6" r:id="rId5" display="https://www.ebay.com/itm/277879143515" xr:uid="{0E19556E-DBF3-453B-8E46-51220AE6BDB6}"/>
    <hyperlink ref="A7" r:id="rId6" display="https://www.ebay.com/itm/336519099601" xr:uid="{A07BDD59-B432-4019-AFB2-2F5CB697EAB0}"/>
    <hyperlink ref="A8" r:id="rId7" display="https://www.ebay.com/itm/287250225689" xr:uid="{4FB868ED-8883-4857-B614-D191B1F729C1}"/>
    <hyperlink ref="A9" r:id="rId8" display="https://www.ebay.com/itm/157801451488" xr:uid="{A9D92B98-C3B6-43EC-BBA3-A3B6E83CB041}"/>
    <hyperlink ref="A10" r:id="rId9" display="https://www.ebay.com/itm/358400210711" xr:uid="{D77B9D0C-E4CB-4BCA-9F86-A1873B5B6F30}"/>
    <hyperlink ref="A11" r:id="rId10" display="https://www.ebay.com/itm/358400174026" xr:uid="{39857040-129F-4E44-B346-130C7C458F07}"/>
    <hyperlink ref="A12" r:id="rId11" display="https://www.ebay.com/itm/267621933720" xr:uid="{DA79D171-8DE9-4265-B88E-9C8F89F85F86}"/>
    <hyperlink ref="A13" r:id="rId12" display="https://www.ebay.com/itm/406806065906" xr:uid="{EDF71B17-1692-4AF4-B674-6076526CC7D0}"/>
    <hyperlink ref="A14" r:id="rId13" display="https://www.ebay.com/itm/358367029899" xr:uid="{F0142B71-8C15-4026-9508-0CFF7DCEF050}"/>
    <hyperlink ref="A15" r:id="rId14" display="https://www.ebay.com/itm/206151877766" xr:uid="{C06F29E2-F7D6-42F7-9D07-F3640E95AC42}"/>
    <hyperlink ref="A16" r:id="rId15" display="https://www.ebay.com/itm/168235417557" xr:uid="{0A380E69-1111-4572-A81C-A57D269DC34A}"/>
    <hyperlink ref="A17" r:id="rId16" display="https://www.ebay.com/itm/287199526272" xr:uid="{72292EC8-EFC2-4887-ACCA-63528B34E1C5}"/>
    <hyperlink ref="A18" r:id="rId17" display="https://www.ebay.com/itm/127725113091" xr:uid="{4E86B893-F81F-4336-9816-B86BD616C794}"/>
    <hyperlink ref="A19" r:id="rId18" display="https://www.ebay.com/itm/267598252995" xr:uid="{8F298223-C827-4581-9017-1F86E01438B9}"/>
    <hyperlink ref="A20" r:id="rId19" display="https://www.ebay.com/itm/188135685177" xr:uid="{B6CFCE66-3110-4576-8D5E-E57D3BA1EC8E}"/>
    <hyperlink ref="A21" r:id="rId20" display="https://www.ebay.com/itm/227246393788" xr:uid="{7071D352-0AE0-43FC-A5AA-1C3FF3AB655A}"/>
    <hyperlink ref="A22" r:id="rId21" display="https://www.ebay.com/itm/306792136843" xr:uid="{2E3F5A48-13E2-48A9-ACD9-29FE2A276B18}"/>
    <hyperlink ref="A23" r:id="rId22" display="https://www.ebay.com/itm/188127533110" xr:uid="{076F7E99-15A0-4BA8-9924-5C09807FE075}"/>
    <hyperlink ref="A24" r:id="rId23" display="https://www.ebay.com/itm/227243769685" xr:uid="{EE0B84FC-CF3B-4391-8C46-69320D3D2A3D}"/>
    <hyperlink ref="A25" r:id="rId24" display="https://www.ebay.com/itm/226670269290" xr:uid="{51291403-5EF0-4024-807D-9B3CED52A95B}"/>
    <hyperlink ref="A26" r:id="rId25" display="https://www.ebay.com/itm/336330212154" xr:uid="{96F5BCB0-09E8-41D5-AD77-D45656AACBD9}"/>
    <hyperlink ref="A27" r:id="rId26" display="https://www.ebay.com/itm/317945280682" xr:uid="{21C5E151-DF44-4105-909C-5D3512E888FF}"/>
    <hyperlink ref="A28" r:id="rId27" display="https://www.ebay.com/itm/277760190609" xr:uid="{BCDAB8D8-53B8-48A2-A919-AC34AE6418CC}"/>
    <hyperlink ref="A29" r:id="rId28" display="https://www.ebay.com/itm/227235052305" xr:uid="{45FC7608-BD3E-41AD-9562-6F5F1994CA42}"/>
    <hyperlink ref="A30" r:id="rId29" display="https://www.ebay.com/itm/317923534127" xr:uid="{25078E6D-210A-48D6-9CF6-998A12CEF138}"/>
    <hyperlink ref="A31" r:id="rId30" display="https://www.ebay.com/itm/317924691372" xr:uid="{EC91F086-6C5B-4F33-9D09-C0B33AEEFF96}"/>
    <hyperlink ref="A32" r:id="rId31" display="https://www.ebay.com/itm/188075102279" xr:uid="{25203E93-A348-40E4-8F18-1E38B8ABF8A0}"/>
    <hyperlink ref="A33" r:id="rId32" display="https://www.ebay.com/itm/127690509426" xr:uid="{90217139-306D-4869-B03A-9E510E949733}"/>
    <hyperlink ref="A34" r:id="rId33" display="https://www.ebay.com/itm/227223866453" xr:uid="{7687422F-6CF6-492C-9365-D7E8F07C47C2}"/>
    <hyperlink ref="A35" r:id="rId34" display="https://www.ebay.com/itm/227225110777" xr:uid="{C0A23AEB-04CC-4AAE-8BE0-DF6EF61E42C6}"/>
    <hyperlink ref="A36" r:id="rId35" display="https://www.ebay.com/itm/406695994144" xr:uid="{56879D51-FA4A-4AC4-A09F-CD1CDACE659C}"/>
    <hyperlink ref="A37" r:id="rId36" display="https://www.ebay.com/itm/336439644317" xr:uid="{C3F4281E-82DB-477E-A4B9-B03C9D127857}"/>
    <hyperlink ref="A38" r:id="rId37" display="https://www.ebay.com/itm/227214149694" xr:uid="{0622E012-1170-4F74-8A5D-3DE76FB4E5F2}"/>
    <hyperlink ref="A39" r:id="rId38" display="https://www.ebay.com/itm/389491860012" xr:uid="{F8E4068D-71F9-42AB-8B6A-180B94C37165}"/>
    <hyperlink ref="A40" r:id="rId39" display="https://www.ebay.com/itm/306763123844" xr:uid="{46663D98-7868-4492-85C9-280048F63672}"/>
    <hyperlink ref="A41" r:id="rId40" display="https://www.ebay.com/itm/336426939479" xr:uid="{72754E96-4571-4DE1-8C3C-34775B332CC7}"/>
    <hyperlink ref="A42" r:id="rId41" display="https://www.ebay.com/itm/117021066759" xr:uid="{4D3C6AD3-A947-4B6A-A491-38B549551558}"/>
    <hyperlink ref="A43" r:id="rId42" display="https://www.ebay.com/itm/177824621786" xr:uid="{42143673-D4D5-40FF-B14B-28FEE320AC4D}"/>
    <hyperlink ref="A44" r:id="rId43" display="https://www.ebay.com/itm/188009589953" xr:uid="{A4E71A7D-E55F-4CE9-9CB2-1CC81C291E67}"/>
    <hyperlink ref="A45" r:id="rId44" display="https://www.ebay.com/itm/147128670187" xr:uid="{70BB83D8-42F3-45CB-A70D-78A03D5E2571}"/>
    <hyperlink ref="A46" r:id="rId45" display="https://www.ebay.com/itm/358169908527" xr:uid="{3D400C62-33D0-4935-AA41-3300E78BF4CE}"/>
    <hyperlink ref="A47" r:id="rId46" display="https://www.ebay.com/itm/227194426238" xr:uid="{6FCF6817-B31D-4682-84A2-7359668CFBEC}"/>
    <hyperlink ref="A48" r:id="rId47" display="https://www.ebay.com/itm/205814299543" xr:uid="{4FF99A50-B1FF-4E48-8E20-19D074914795}"/>
    <hyperlink ref="A49" r:id="rId48" display="https://www.ebay.com/itm/187998216326" xr:uid="{C1E9318A-9D9B-44E8-8433-5921CAC6FCED}"/>
    <hyperlink ref="A50" r:id="rId49" display="https://www.ebay.com/itm/168118427576" xr:uid="{274643CA-9619-42CB-AE82-8FF76E25840A}"/>
    <hyperlink ref="A51" r:id="rId50" display="https://www.ebay.com/itm/168075912142" xr:uid="{F5F7DA33-CCE1-4E3C-A3CA-939A769616D2}"/>
    <hyperlink ref="A52" r:id="rId51" display="https://www.ebay.com/itm/187931156416" xr:uid="{8538F47B-35D9-4454-ADF4-C183EE8CEF02}"/>
    <hyperlink ref="A53" r:id="rId52" display="https://www.ebay.com/itm/277574402016" xr:uid="{A553C77D-D472-46D6-B652-CE7EB612EA1C}"/>
    <hyperlink ref="A54" r:id="rId53" display="https://www.ebay.com/itm/297904395865" xr:uid="{7ED132AD-4346-4A13-845C-4BE42AB2227C}"/>
    <hyperlink ref="A55" r:id="rId54" display="https://www.ebay.com/itm/317724848937" xr:uid="{9EDF855F-29BB-43C3-BE78-0C9142E69603}"/>
    <hyperlink ref="A56" r:id="rId55" display="https://www.ebay.com/itm/205969412690" xr:uid="{BAF1185E-9949-418C-8659-1CDB14D728C2}"/>
    <hyperlink ref="A57" r:id="rId56" display="https://www.ebay.com/itm/406553446118" xr:uid="{61A3F936-95D5-4996-94E6-29FC42916CC1}"/>
    <hyperlink ref="A58" r:id="rId57" display="https://www.ebay.com/itm/306686574665" xr:uid="{98D28E6F-CC36-480F-A256-EC846527E0ED}"/>
    <hyperlink ref="A61" r:id="rId58" display="https://www.amazon.com/dp/B09BQRQ9JF?ref_=ppx_printOD_title_dt_b_fed_asin_title_1_0" xr:uid="{2672B5D1-DBCD-4892-A316-A0F860E20C01}"/>
    <hyperlink ref="A63" r:id="rId59" display="https://www.amazon.com/dp/B0GR6F79MT?ref_=ppx_printOD_title_dt_b_fed_asin_title_0_0" xr:uid="{BBB313E7-C40B-4558-B067-11BDD16A4F47}"/>
    <hyperlink ref="A64" r:id="rId60" display="https://www.amazon.com/dp/B0GR1JTFP8?ref=ppx_yo2ov_dt_b_fed_asin_title" xr:uid="{602639B2-0158-49A8-8DE3-F2F77DBB24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2015-06-05T18:17:20Z</dcterms:created>
  <dcterms:modified xsi:type="dcterms:W3CDTF">2026-06-09T01:12:17Z</dcterms:modified>
</cp:coreProperties>
</file>